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1D7845DB-8E8E-4E81-8916-1AAC16FAEEA8}" xr6:coauthVersionLast="47" xr6:coauthVersionMax="47" xr10:uidLastSave="{00000000-0000-0000-0000-000000000000}"/>
  <bookViews>
    <workbookView xWindow="-108" yWindow="-108" windowWidth="23256" windowHeight="12576" activeTab="1" xr2:uid="{E1B1A156-44C7-4062-B33F-CA16B15B8CF8}"/>
  </bookViews>
  <sheets>
    <sheet name="pivot_analysis" sheetId="2" r:id="rId1"/>
    <sheet name="marks_data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8" i="1" l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7" i="1"/>
</calcChain>
</file>

<file path=xl/sharedStrings.xml><?xml version="1.0" encoding="utf-8"?>
<sst xmlns="http://schemas.openxmlformats.org/spreadsheetml/2006/main" count="58" uniqueCount="38">
  <si>
    <t>ROLL NO</t>
  </si>
  <si>
    <t>SUB2</t>
  </si>
  <si>
    <t>SUB3</t>
  </si>
  <si>
    <t>TOTAL</t>
  </si>
  <si>
    <t>OBTAIN</t>
  </si>
  <si>
    <t>PERCENT</t>
  </si>
  <si>
    <t>ASLAM</t>
  </si>
  <si>
    <t>AQIB</t>
  </si>
  <si>
    <t>ALI</t>
  </si>
  <si>
    <t>BABAR</t>
  </si>
  <si>
    <t>DANIAL</t>
  </si>
  <si>
    <t>DAWOOD</t>
  </si>
  <si>
    <t>FARIS</t>
  </si>
  <si>
    <t>FAWAD</t>
  </si>
  <si>
    <t>FEROZ</t>
  </si>
  <si>
    <t>GHANI</t>
  </si>
  <si>
    <t>HUNAIN</t>
  </si>
  <si>
    <t>HASNAIN</t>
  </si>
  <si>
    <t>AHAD</t>
  </si>
  <si>
    <t>HAMID</t>
  </si>
  <si>
    <t>IBRAHIM</t>
  </si>
  <si>
    <t>JAWAID</t>
  </si>
  <si>
    <t>JAWWAD</t>
  </si>
  <si>
    <t>KAMAL</t>
  </si>
  <si>
    <t>MUEEZ</t>
  </si>
  <si>
    <t>IDREES</t>
  </si>
  <si>
    <t>GRADE</t>
  </si>
  <si>
    <t xml:space="preserve">      A+</t>
  </si>
  <si>
    <t xml:space="preserve">      B</t>
  </si>
  <si>
    <t xml:space="preserve">      A</t>
  </si>
  <si>
    <t>MARKSEET</t>
  </si>
  <si>
    <t>Row Labels</t>
  </si>
  <si>
    <t>Grand Total</t>
  </si>
  <si>
    <t>Count of ROLL NO</t>
  </si>
  <si>
    <t>Average of PERCENT</t>
  </si>
  <si>
    <t>SUB1</t>
  </si>
  <si>
    <t>NAME</t>
  </si>
  <si>
    <t>BEST CHILDREN ACADEMY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</si>
</sst>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[marksheet.xlsx]pivot_analysis!PivotTable1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Wise Average Percentage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pivot_analysis!$B$3</c:f>
              <c:strCache>
                <c:ptCount val="1"/>
                <c:pt idx="0">
                  <c:v>Count of ROLL 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5E-4828-B05A-1667C834EE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BF6-420A-AA48-F9F7D74F95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55E-4828-B05A-1667C834EE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pivot_analysis!$A$4:$A$7</c:f>
              <c:strCache>
                <c:ptCount val="3"/>
                <c:pt idx="0">
                  <c:v>      A</c:v>
                </c:pt>
                <c:pt idx="1">
                  <c:v>      A+</c:v>
                </c:pt>
                <c:pt idx="2">
                  <c:v>      B</c:v>
                </c:pt>
              </c:strCache>
            </c:strRef>
          </c:cat>
          <c:val>
            <c:numRef>
              <c:f>pivot_analysis!$B$4:$B$7</c:f>
              <c:numCache>
                <c:formatCode>General</c:formatCode>
                <c:ptCount val="3"/>
                <c:pt idx="0">
                  <c:v>5</c:v>
                </c:pt>
                <c:pt idx="1">
                  <c:v>10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F6-420A-AA48-F9F7D74F95BF}"/>
            </c:ext>
          </c:extLst>
        </c:ser>
        <c:ser>
          <c:idx val="1"/>
          <c:order val="1"/>
          <c:tx>
            <c:strRef>
              <c:f>pivot_analysis!$C$3</c:f>
              <c:strCache>
                <c:ptCount val="1"/>
                <c:pt idx="0">
                  <c:v>Average of PERCENT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55E-4828-B05A-1667C834EE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55E-4828-B05A-1667C834EE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55E-4828-B05A-1667C834EE58}"/>
              </c:ext>
            </c:extLst>
          </c:dPt>
          <c:cat>
            <c:strRef>
              <c:f>pivot_analysis!$A$4:$A$7</c:f>
              <c:strCache>
                <c:ptCount val="3"/>
                <c:pt idx="0">
                  <c:v>      A</c:v>
                </c:pt>
                <c:pt idx="1">
                  <c:v>      A+</c:v>
                </c:pt>
                <c:pt idx="2">
                  <c:v>      B</c:v>
                </c:pt>
              </c:strCache>
            </c:strRef>
          </c:cat>
          <c:val>
            <c:numRef>
              <c:f>pivot_analysis!$C$4:$C$7</c:f>
              <c:numCache>
                <c:formatCode>General</c:formatCode>
                <c:ptCount val="3"/>
                <c:pt idx="0">
                  <c:v>75.288888888888891</c:v>
                </c:pt>
                <c:pt idx="1">
                  <c:v>86.399999999999977</c:v>
                </c:pt>
                <c:pt idx="2">
                  <c:v>67.02222222222224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F6-420A-AA48-F9F7D74F9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</xdr:colOff>
      <xdr:row>8</xdr:row>
      <xdr:rowOff>9525</xdr:rowOff>
    </xdr:from>
    <xdr:to>
      <xdr:col>5</xdr:col>
      <xdr:colOff>120015</xdr:colOff>
      <xdr:row>23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BFF9D3-8D00-454E-9C86-68F3D7145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50.510125578701" createdVersion="7" refreshedVersion="7" minRefreshableVersion="3" recordCount="20" xr:uid="{38CAD270-CF6F-49BF-8C91-2D8900EE46DE}">
  <cacheSource type="worksheet">
    <worksheetSource name="Table2"/>
  </cacheSource>
  <cacheFields count="9">
    <cacheField name="ROLL NO" numFmtId="0">
      <sharedItems containsSemiMixedTypes="0" containsString="0" containsNumber="1" containsInteger="1" minValue="111" maxValue="130"/>
    </cacheField>
    <cacheField name="ROLL NO2" numFmtId="0">
      <sharedItems/>
    </cacheField>
    <cacheField name="ROLL NO3" numFmtId="0">
      <sharedItems containsSemiMixedTypes="0" containsString="0" containsNumber="1" containsInteger="1" minValue="22" maxValue="50"/>
    </cacheField>
    <cacheField name="SUB2" numFmtId="0">
      <sharedItems containsSemiMixedTypes="0" containsString="0" containsNumber="1" containsInteger="1" minValue="45" maxValue="74"/>
    </cacheField>
    <cacheField name="SUB3" numFmtId="0">
      <sharedItems containsSemiMixedTypes="0" containsString="0" containsNumber="1" containsInteger="1" minValue="44" maxValue="99"/>
    </cacheField>
    <cacheField name="TOTAL" numFmtId="0">
      <sharedItems containsSemiMixedTypes="0" containsString="0" containsNumber="1" containsInteger="1" minValue="225" maxValue="225"/>
    </cacheField>
    <cacheField name="OBTAIN" numFmtId="0">
      <sharedItems containsSemiMixedTypes="0" containsString="0" containsNumber="1" containsInteger="1" minValue="144" maxValue="206"/>
    </cacheField>
    <cacheField name="PERCENT" numFmtId="0">
      <sharedItems containsSemiMixedTypes="0" containsString="0" containsNumber="1" minValue="64" maxValue="91.555555555555557"/>
    </cacheField>
    <cacheField name="GRADE" numFmtId="0">
      <sharedItems count="3">
        <s v="      A+"/>
        <s v="      A"/>
        <s v="      B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11"/>
    <s v="ASLAM"/>
    <n v="41"/>
    <n v="60"/>
    <n v="85"/>
    <n v="225"/>
    <n v="186"/>
    <n v="82.666666666666671"/>
    <x v="0"/>
  </r>
  <r>
    <n v="112"/>
    <s v="AQIB"/>
    <n v="42"/>
    <n v="61"/>
    <n v="90"/>
    <n v="225"/>
    <n v="193"/>
    <n v="85.777777777777771"/>
    <x v="0"/>
  </r>
  <r>
    <n v="113"/>
    <s v="AHAD"/>
    <n v="43"/>
    <n v="62"/>
    <n v="99"/>
    <n v="225"/>
    <n v="204"/>
    <n v="90.666666666666657"/>
    <x v="0"/>
  </r>
  <r>
    <n v="114"/>
    <s v="ALI"/>
    <n v="49"/>
    <n v="63"/>
    <n v="92"/>
    <n v="225"/>
    <n v="204"/>
    <n v="90.666666666666657"/>
    <x v="0"/>
  </r>
  <r>
    <n v="115"/>
    <s v="BABAR"/>
    <n v="44"/>
    <n v="64"/>
    <n v="60"/>
    <n v="225"/>
    <n v="168"/>
    <n v="74.666666666666671"/>
    <x v="1"/>
  </r>
  <r>
    <n v="116"/>
    <s v="DANIAL"/>
    <n v="33"/>
    <n v="55"/>
    <n v="79"/>
    <n v="225"/>
    <n v="167"/>
    <n v="74.222222222222229"/>
    <x v="1"/>
  </r>
  <r>
    <n v="117"/>
    <s v="DAWOOD"/>
    <n v="35"/>
    <n v="45"/>
    <n v="64"/>
    <n v="225"/>
    <n v="144"/>
    <n v="64"/>
    <x v="2"/>
  </r>
  <r>
    <n v="118"/>
    <s v="FARIS"/>
    <n v="22"/>
    <n v="73"/>
    <n v="50"/>
    <n v="225"/>
    <n v="145"/>
    <n v="64.444444444444443"/>
    <x v="2"/>
  </r>
  <r>
    <n v="119"/>
    <s v="FAWAD"/>
    <n v="43"/>
    <n v="73"/>
    <n v="88"/>
    <n v="225"/>
    <n v="204"/>
    <n v="90.666666666666657"/>
    <x v="0"/>
  </r>
  <r>
    <n v="120"/>
    <s v="FEROZ"/>
    <n v="41"/>
    <n v="54"/>
    <n v="99"/>
    <n v="225"/>
    <n v="194"/>
    <n v="86.222222222222229"/>
    <x v="0"/>
  </r>
  <r>
    <n v="121"/>
    <s v="GHANI"/>
    <n v="34"/>
    <n v="65"/>
    <n v="77"/>
    <n v="225"/>
    <n v="176"/>
    <n v="78.222222222222229"/>
    <x v="1"/>
  </r>
  <r>
    <n v="122"/>
    <s v="HUNAIN"/>
    <n v="36"/>
    <n v="60"/>
    <n v="66"/>
    <n v="225"/>
    <n v="162"/>
    <n v="72"/>
    <x v="1"/>
  </r>
  <r>
    <n v="123"/>
    <s v="HASNAIN"/>
    <n v="50"/>
    <n v="60"/>
    <n v="44"/>
    <n v="225"/>
    <n v="154"/>
    <n v="68.444444444444443"/>
    <x v="2"/>
  </r>
  <r>
    <n v="124"/>
    <s v="HAMID"/>
    <n v="30"/>
    <n v="60"/>
    <n v="66"/>
    <n v="225"/>
    <n v="156"/>
    <n v="69.333333333333343"/>
    <x v="2"/>
  </r>
  <r>
    <n v="125"/>
    <s v="IBRAHIM"/>
    <n v="22"/>
    <n v="68"/>
    <n v="65"/>
    <n v="225"/>
    <n v="155"/>
    <n v="68.888888888888886"/>
    <x v="2"/>
  </r>
  <r>
    <n v="126"/>
    <s v="IDREES"/>
    <n v="27"/>
    <n v="68"/>
    <n v="90"/>
    <n v="225"/>
    <n v="185"/>
    <n v="82.222222222222214"/>
    <x v="0"/>
  </r>
  <r>
    <n v="127"/>
    <s v="JAWAID"/>
    <n v="40"/>
    <n v="67"/>
    <n v="80"/>
    <n v="225"/>
    <n v="187"/>
    <n v="83.111111111111114"/>
    <x v="0"/>
  </r>
  <r>
    <n v="128"/>
    <s v="JAWWAD"/>
    <n v="40"/>
    <n v="71"/>
    <n v="70"/>
    <n v="225"/>
    <n v="181"/>
    <n v="80.444444444444443"/>
    <x v="0"/>
  </r>
  <r>
    <n v="129"/>
    <s v="KAMAL"/>
    <n v="40"/>
    <n v="74"/>
    <n v="60"/>
    <n v="225"/>
    <n v="174"/>
    <n v="77.333333333333329"/>
    <x v="1"/>
  </r>
  <r>
    <n v="130"/>
    <s v="MUEEZ"/>
    <n v="45"/>
    <n v="73"/>
    <n v="88"/>
    <n v="225"/>
    <n v="206"/>
    <n v="91.55555555555555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0857E1-73CC-4EA0-A659-BF5B5B989AB4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3:C7" firstHeaderRow="0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1"/>
        <item x="0"/>
        <item x="2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ROLL NO" fld="0" subtotal="count" baseField="8" baseItem="0"/>
    <dataField name="Average of PERCENT" fld="7" subtotal="average" baseField="8" baseItem="0"/>
  </dataField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B6B2E5-B522-4E9C-B815-34572A78C0A3}" name="Table2" displayName="Table2" ref="K6:S26" totalsRowShown="0">
  <autoFilter ref="K6:S26" xr:uid="{69B6B2E5-B522-4E9C-B815-34572A78C0A3}"/>
  <tableColumns count="9">
    <tableColumn id="1" xr3:uid="{8AF0BBB8-02AE-402C-A9C5-472FB3ACE0DC}" name="ROLL NO"/>
    <tableColumn id="2" xr3:uid="{6533C226-3E55-437D-877F-579DB68FC153}" name="NAME"/>
    <tableColumn id="3" xr3:uid="{E00FF1D6-CEA6-43F9-9BD7-5102FBF9FECB}" name="SUB1"/>
    <tableColumn id="4" xr3:uid="{A7141334-84F0-4B87-A769-36111274C093}" name="SUB2"/>
    <tableColumn id="5" xr3:uid="{D0310046-F7AA-4F03-BE17-619214AF86F5}" name="SUB3"/>
    <tableColumn id="6" xr3:uid="{810DDDA6-EEBA-44DC-B2E9-F8A22DDFF851}" name="TOTAL"/>
    <tableColumn id="7" xr3:uid="{87A346BE-B14A-4A4C-9AB3-B0EE03ABDA10}" name="OBTAIN">
      <calculatedColumnFormula>SUM(M7:O7)</calculatedColumnFormula>
    </tableColumn>
    <tableColumn id="8" xr3:uid="{04C370B6-7188-404A-9EC2-3EDB14398DFB}" name="PERCENT">
      <calculatedColumnFormula>Q7/P7*100</calculatedColumnFormula>
    </tableColumn>
    <tableColumn id="9" xr3:uid="{49D2BA54-9457-4937-8B17-81158C013109}" name="GRADE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1684C-65E9-4598-9141-EFF0C54E2C5F}">
  <dimension ref="A3:C7"/>
  <sheetViews>
    <sheetView zoomScale="80" zoomScaleNormal="80" workbookViewId="0">
      <selection activeCell="E5" sqref="E5"/>
    </sheetView>
  </sheetViews>
  <sheetFormatPr defaultRowHeight="14.4" x14ac:dyDescent="0.3"/>
  <cols>
    <col min="1" max="1" width="12.5546875" bestFit="1" customWidth="1"/>
    <col min="2" max="2" width="16.21875" bestFit="1" customWidth="1"/>
    <col min="3" max="3" width="18.44140625" bestFit="1" customWidth="1"/>
  </cols>
  <sheetData>
    <row r="3" spans="1:3" x14ac:dyDescent="0.3">
      <c r="A3" s="1" t="s">
        <v>31</v>
      </c>
      <c r="B3" t="s">
        <v>33</v>
      </c>
      <c r="C3" t="s">
        <v>34</v>
      </c>
    </row>
    <row r="4" spans="1:3" x14ac:dyDescent="0.3">
      <c r="A4" s="2" t="s">
        <v>29</v>
      </c>
      <c r="B4">
        <v>5</v>
      </c>
      <c r="C4">
        <v>75.288888888888891</v>
      </c>
    </row>
    <row r="5" spans="1:3" x14ac:dyDescent="0.3">
      <c r="A5" s="2" t="s">
        <v>27</v>
      </c>
      <c r="B5">
        <v>10</v>
      </c>
      <c r="C5">
        <v>86.399999999999977</v>
      </c>
    </row>
    <row r="6" spans="1:3" x14ac:dyDescent="0.3">
      <c r="A6" s="2" t="s">
        <v>28</v>
      </c>
      <c r="B6">
        <v>5</v>
      </c>
      <c r="C6">
        <v>67.02222222222224</v>
      </c>
    </row>
    <row r="7" spans="1:3" x14ac:dyDescent="0.3">
      <c r="A7" s="2" t="s">
        <v>32</v>
      </c>
      <c r="B7">
        <v>20</v>
      </c>
      <c r="C7">
        <v>78.777777777777757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3DB61-FFBB-4B94-8286-3331EA716D88}">
  <sheetPr>
    <tabColor theme="2"/>
  </sheetPr>
  <dimension ref="K2:S28"/>
  <sheetViews>
    <sheetView tabSelected="1" workbookViewId="0">
      <selection activeCell="T4" sqref="T4"/>
    </sheetView>
  </sheetViews>
  <sheetFormatPr defaultRowHeight="14.4" x14ac:dyDescent="0.3"/>
  <cols>
    <col min="8" max="8" width="8.88671875" customWidth="1"/>
    <col min="11" max="11" width="10.21875" customWidth="1"/>
    <col min="12" max="12" width="11.21875" customWidth="1"/>
    <col min="13" max="13" width="9.88671875" customWidth="1"/>
    <col min="17" max="17" width="9.33203125" customWidth="1"/>
    <col min="18" max="18" width="10.44140625" customWidth="1"/>
  </cols>
  <sheetData>
    <row r="2" spans="11:19" ht="14.4" customHeight="1" x14ac:dyDescent="0.3">
      <c r="K2" s="3" t="s">
        <v>37</v>
      </c>
      <c r="L2" s="4"/>
      <c r="M2" s="4"/>
      <c r="N2" s="4"/>
      <c r="O2" s="4"/>
      <c r="P2" s="4"/>
      <c r="Q2" s="4"/>
      <c r="R2" s="4"/>
      <c r="S2" s="4"/>
    </row>
    <row r="3" spans="11:19" x14ac:dyDescent="0.3">
      <c r="K3" s="4"/>
      <c r="L3" s="4"/>
      <c r="M3" s="4"/>
      <c r="N3" s="4"/>
      <c r="O3" s="4"/>
      <c r="P3" s="4"/>
      <c r="Q3" s="4"/>
      <c r="R3" s="4"/>
      <c r="S3" s="4"/>
    </row>
    <row r="4" spans="11:19" ht="14.4" customHeight="1" x14ac:dyDescent="0.3">
      <c r="K4" s="3" t="s">
        <v>30</v>
      </c>
      <c r="L4" s="4"/>
      <c r="M4" s="4"/>
      <c r="N4" s="4"/>
      <c r="O4" s="4"/>
      <c r="P4" s="4"/>
      <c r="Q4" s="4"/>
      <c r="R4" s="4"/>
      <c r="S4" s="4"/>
    </row>
    <row r="5" spans="11:19" ht="14.4" customHeight="1" x14ac:dyDescent="0.3">
      <c r="K5" s="4"/>
      <c r="L5" s="4"/>
      <c r="M5" s="4"/>
      <c r="N5" s="4"/>
      <c r="O5" s="4"/>
      <c r="P5" s="4"/>
      <c r="Q5" s="4"/>
      <c r="R5" s="4"/>
      <c r="S5" s="4"/>
    </row>
    <row r="6" spans="11:19" x14ac:dyDescent="0.3">
      <c r="K6" t="s">
        <v>0</v>
      </c>
      <c r="L6" t="s">
        <v>36</v>
      </c>
      <c r="M6" t="s">
        <v>35</v>
      </c>
      <c r="N6" t="s">
        <v>1</v>
      </c>
      <c r="O6" t="s">
        <v>2</v>
      </c>
      <c r="P6" t="s">
        <v>3</v>
      </c>
      <c r="Q6" t="s">
        <v>4</v>
      </c>
      <c r="R6" t="s">
        <v>5</v>
      </c>
      <c r="S6" t="s">
        <v>26</v>
      </c>
    </row>
    <row r="7" spans="11:19" x14ac:dyDescent="0.3">
      <c r="K7">
        <v>111</v>
      </c>
      <c r="L7" t="s">
        <v>6</v>
      </c>
      <c r="M7">
        <v>41</v>
      </c>
      <c r="N7">
        <v>60</v>
      </c>
      <c r="O7">
        <v>85</v>
      </c>
      <c r="P7">
        <v>225</v>
      </c>
      <c r="Q7">
        <f>SUM(M7:O7)</f>
        <v>186</v>
      </c>
      <c r="R7">
        <f>Q7/P7*100</f>
        <v>82.666666666666671</v>
      </c>
      <c r="S7" t="s">
        <v>27</v>
      </c>
    </row>
    <row r="8" spans="11:19" x14ac:dyDescent="0.3">
      <c r="K8">
        <v>112</v>
      </c>
      <c r="L8" t="s">
        <v>7</v>
      </c>
      <c r="M8">
        <v>42</v>
      </c>
      <c r="N8">
        <v>61</v>
      </c>
      <c r="O8">
        <v>90</v>
      </c>
      <c r="P8">
        <v>225</v>
      </c>
      <c r="Q8">
        <f t="shared" ref="Q8:Q26" si="0">SUM(M8:O8)</f>
        <v>193</v>
      </c>
      <c r="R8">
        <f t="shared" ref="R8:R26" si="1">Q8/P8*100</f>
        <v>85.777777777777771</v>
      </c>
      <c r="S8" t="s">
        <v>27</v>
      </c>
    </row>
    <row r="9" spans="11:19" x14ac:dyDescent="0.3">
      <c r="K9">
        <v>113</v>
      </c>
      <c r="L9" t="s">
        <v>18</v>
      </c>
      <c r="M9">
        <v>43</v>
      </c>
      <c r="N9">
        <v>62</v>
      </c>
      <c r="O9">
        <v>99</v>
      </c>
      <c r="P9">
        <v>225</v>
      </c>
      <c r="Q9">
        <f t="shared" si="0"/>
        <v>204</v>
      </c>
      <c r="R9">
        <f t="shared" si="1"/>
        <v>90.666666666666657</v>
      </c>
      <c r="S9" t="s">
        <v>27</v>
      </c>
    </row>
    <row r="10" spans="11:19" x14ac:dyDescent="0.3">
      <c r="K10">
        <v>114</v>
      </c>
      <c r="L10" t="s">
        <v>8</v>
      </c>
      <c r="M10">
        <v>49</v>
      </c>
      <c r="N10">
        <v>63</v>
      </c>
      <c r="O10">
        <v>92</v>
      </c>
      <c r="P10">
        <v>225</v>
      </c>
      <c r="Q10">
        <f t="shared" si="0"/>
        <v>204</v>
      </c>
      <c r="R10">
        <f t="shared" si="1"/>
        <v>90.666666666666657</v>
      </c>
      <c r="S10" t="s">
        <v>27</v>
      </c>
    </row>
    <row r="11" spans="11:19" x14ac:dyDescent="0.3">
      <c r="K11">
        <v>115</v>
      </c>
      <c r="L11" t="s">
        <v>9</v>
      </c>
      <c r="M11">
        <v>44</v>
      </c>
      <c r="N11">
        <v>64</v>
      </c>
      <c r="O11">
        <v>60</v>
      </c>
      <c r="P11">
        <v>225</v>
      </c>
      <c r="Q11">
        <f t="shared" si="0"/>
        <v>168</v>
      </c>
      <c r="R11">
        <f t="shared" si="1"/>
        <v>74.666666666666671</v>
      </c>
      <c r="S11" t="s">
        <v>29</v>
      </c>
    </row>
    <row r="12" spans="11:19" x14ac:dyDescent="0.3">
      <c r="K12">
        <v>116</v>
      </c>
      <c r="L12" t="s">
        <v>10</v>
      </c>
      <c r="M12">
        <v>33</v>
      </c>
      <c r="N12">
        <v>55</v>
      </c>
      <c r="O12">
        <v>79</v>
      </c>
      <c r="P12">
        <v>225</v>
      </c>
      <c r="Q12">
        <f t="shared" si="0"/>
        <v>167</v>
      </c>
      <c r="R12">
        <f t="shared" si="1"/>
        <v>74.222222222222229</v>
      </c>
      <c r="S12" t="s">
        <v>29</v>
      </c>
    </row>
    <row r="13" spans="11:19" x14ac:dyDescent="0.3">
      <c r="K13">
        <v>117</v>
      </c>
      <c r="L13" t="s">
        <v>11</v>
      </c>
      <c r="M13">
        <v>35</v>
      </c>
      <c r="N13">
        <v>45</v>
      </c>
      <c r="O13">
        <v>64</v>
      </c>
      <c r="P13">
        <v>225</v>
      </c>
      <c r="Q13">
        <f t="shared" si="0"/>
        <v>144</v>
      </c>
      <c r="R13">
        <f t="shared" si="1"/>
        <v>64</v>
      </c>
      <c r="S13" t="s">
        <v>28</v>
      </c>
    </row>
    <row r="14" spans="11:19" x14ac:dyDescent="0.3">
      <c r="K14">
        <v>118</v>
      </c>
      <c r="L14" t="s">
        <v>12</v>
      </c>
      <c r="M14">
        <v>22</v>
      </c>
      <c r="N14">
        <v>73</v>
      </c>
      <c r="O14">
        <v>50</v>
      </c>
      <c r="P14">
        <v>225</v>
      </c>
      <c r="Q14">
        <f t="shared" si="0"/>
        <v>145</v>
      </c>
      <c r="R14">
        <f t="shared" si="1"/>
        <v>64.444444444444443</v>
      </c>
      <c r="S14" t="s">
        <v>28</v>
      </c>
    </row>
    <row r="15" spans="11:19" x14ac:dyDescent="0.3">
      <c r="K15">
        <v>119</v>
      </c>
      <c r="L15" t="s">
        <v>13</v>
      </c>
      <c r="M15">
        <v>43</v>
      </c>
      <c r="N15">
        <v>73</v>
      </c>
      <c r="O15">
        <v>88</v>
      </c>
      <c r="P15">
        <v>225</v>
      </c>
      <c r="Q15">
        <f t="shared" si="0"/>
        <v>204</v>
      </c>
      <c r="R15">
        <f t="shared" si="1"/>
        <v>90.666666666666657</v>
      </c>
      <c r="S15" t="s">
        <v>27</v>
      </c>
    </row>
    <row r="16" spans="11:19" x14ac:dyDescent="0.3">
      <c r="K16">
        <v>120</v>
      </c>
      <c r="L16" t="s">
        <v>14</v>
      </c>
      <c r="M16">
        <v>41</v>
      </c>
      <c r="N16">
        <v>54</v>
      </c>
      <c r="O16">
        <v>99</v>
      </c>
      <c r="P16">
        <v>225</v>
      </c>
      <c r="Q16">
        <f t="shared" si="0"/>
        <v>194</v>
      </c>
      <c r="R16">
        <f t="shared" si="1"/>
        <v>86.222222222222229</v>
      </c>
      <c r="S16" t="s">
        <v>27</v>
      </c>
    </row>
    <row r="17" spans="11:19" x14ac:dyDescent="0.3">
      <c r="K17">
        <v>121</v>
      </c>
      <c r="L17" t="s">
        <v>15</v>
      </c>
      <c r="M17">
        <v>34</v>
      </c>
      <c r="N17">
        <v>65</v>
      </c>
      <c r="O17">
        <v>77</v>
      </c>
      <c r="P17">
        <v>225</v>
      </c>
      <c r="Q17">
        <f t="shared" si="0"/>
        <v>176</v>
      </c>
      <c r="R17">
        <f t="shared" si="1"/>
        <v>78.222222222222229</v>
      </c>
      <c r="S17" t="s">
        <v>29</v>
      </c>
    </row>
    <row r="18" spans="11:19" x14ac:dyDescent="0.3">
      <c r="K18">
        <v>122</v>
      </c>
      <c r="L18" t="s">
        <v>16</v>
      </c>
      <c r="M18">
        <v>36</v>
      </c>
      <c r="N18">
        <v>60</v>
      </c>
      <c r="O18">
        <v>66</v>
      </c>
      <c r="P18">
        <v>225</v>
      </c>
      <c r="Q18">
        <f t="shared" si="0"/>
        <v>162</v>
      </c>
      <c r="R18">
        <f t="shared" si="1"/>
        <v>72</v>
      </c>
      <c r="S18" t="s">
        <v>29</v>
      </c>
    </row>
    <row r="19" spans="11:19" x14ac:dyDescent="0.3">
      <c r="K19">
        <v>123</v>
      </c>
      <c r="L19" t="s">
        <v>17</v>
      </c>
      <c r="M19">
        <v>50</v>
      </c>
      <c r="N19">
        <v>60</v>
      </c>
      <c r="O19">
        <v>44</v>
      </c>
      <c r="P19">
        <v>225</v>
      </c>
      <c r="Q19">
        <f t="shared" si="0"/>
        <v>154</v>
      </c>
      <c r="R19">
        <f t="shared" si="1"/>
        <v>68.444444444444443</v>
      </c>
      <c r="S19" t="s">
        <v>28</v>
      </c>
    </row>
    <row r="20" spans="11:19" x14ac:dyDescent="0.3">
      <c r="K20">
        <v>124</v>
      </c>
      <c r="L20" t="s">
        <v>19</v>
      </c>
      <c r="M20">
        <v>30</v>
      </c>
      <c r="N20">
        <v>60</v>
      </c>
      <c r="O20">
        <v>66</v>
      </c>
      <c r="P20">
        <v>225</v>
      </c>
      <c r="Q20">
        <f t="shared" si="0"/>
        <v>156</v>
      </c>
      <c r="R20">
        <f t="shared" si="1"/>
        <v>69.333333333333343</v>
      </c>
      <c r="S20" t="s">
        <v>28</v>
      </c>
    </row>
    <row r="21" spans="11:19" x14ac:dyDescent="0.3">
      <c r="K21">
        <v>125</v>
      </c>
      <c r="L21" t="s">
        <v>20</v>
      </c>
      <c r="M21">
        <v>22</v>
      </c>
      <c r="N21">
        <v>68</v>
      </c>
      <c r="O21">
        <v>65</v>
      </c>
      <c r="P21">
        <v>225</v>
      </c>
      <c r="Q21">
        <f t="shared" si="0"/>
        <v>155</v>
      </c>
      <c r="R21">
        <f t="shared" si="1"/>
        <v>68.888888888888886</v>
      </c>
      <c r="S21" t="s">
        <v>28</v>
      </c>
    </row>
    <row r="22" spans="11:19" x14ac:dyDescent="0.3">
      <c r="K22">
        <v>126</v>
      </c>
      <c r="L22" t="s">
        <v>25</v>
      </c>
      <c r="M22">
        <v>27</v>
      </c>
      <c r="N22">
        <v>68</v>
      </c>
      <c r="O22">
        <v>90</v>
      </c>
      <c r="P22">
        <v>225</v>
      </c>
      <c r="Q22">
        <f t="shared" si="0"/>
        <v>185</v>
      </c>
      <c r="R22">
        <f t="shared" si="1"/>
        <v>82.222222222222214</v>
      </c>
      <c r="S22" t="s">
        <v>27</v>
      </c>
    </row>
    <row r="23" spans="11:19" x14ac:dyDescent="0.3">
      <c r="K23">
        <v>127</v>
      </c>
      <c r="L23" t="s">
        <v>21</v>
      </c>
      <c r="M23">
        <v>40</v>
      </c>
      <c r="N23">
        <v>67</v>
      </c>
      <c r="O23">
        <v>80</v>
      </c>
      <c r="P23">
        <v>225</v>
      </c>
      <c r="Q23">
        <f t="shared" si="0"/>
        <v>187</v>
      </c>
      <c r="R23">
        <f t="shared" si="1"/>
        <v>83.111111111111114</v>
      </c>
      <c r="S23" t="s">
        <v>27</v>
      </c>
    </row>
    <row r="24" spans="11:19" x14ac:dyDescent="0.3">
      <c r="K24">
        <v>128</v>
      </c>
      <c r="L24" t="s">
        <v>22</v>
      </c>
      <c r="M24">
        <v>40</v>
      </c>
      <c r="N24">
        <v>71</v>
      </c>
      <c r="O24">
        <v>70</v>
      </c>
      <c r="P24">
        <v>225</v>
      </c>
      <c r="Q24">
        <f t="shared" si="0"/>
        <v>181</v>
      </c>
      <c r="R24">
        <f t="shared" si="1"/>
        <v>80.444444444444443</v>
      </c>
      <c r="S24" t="s">
        <v>27</v>
      </c>
    </row>
    <row r="25" spans="11:19" x14ac:dyDescent="0.3">
      <c r="K25">
        <v>129</v>
      </c>
      <c r="L25" t="s">
        <v>23</v>
      </c>
      <c r="M25">
        <v>40</v>
      </c>
      <c r="N25">
        <v>74</v>
      </c>
      <c r="O25">
        <v>60</v>
      </c>
      <c r="P25">
        <v>225</v>
      </c>
      <c r="Q25">
        <f t="shared" si="0"/>
        <v>174</v>
      </c>
      <c r="R25">
        <f t="shared" si="1"/>
        <v>77.333333333333329</v>
      </c>
      <c r="S25" t="s">
        <v>29</v>
      </c>
    </row>
    <row r="26" spans="11:19" x14ac:dyDescent="0.3">
      <c r="K26">
        <v>130</v>
      </c>
      <c r="L26" t="s">
        <v>24</v>
      </c>
      <c r="M26">
        <v>45</v>
      </c>
      <c r="N26">
        <v>73</v>
      </c>
      <c r="O26">
        <v>88</v>
      </c>
      <c r="P26">
        <v>225</v>
      </c>
      <c r="Q26">
        <f t="shared" si="0"/>
        <v>206</v>
      </c>
      <c r="R26">
        <f t="shared" si="1"/>
        <v>91.555555555555557</v>
      </c>
      <c r="S26" t="s">
        <v>27</v>
      </c>
    </row>
    <row r="27" spans="11:19" x14ac:dyDescent="0.3">
      <c r="K27" s="5"/>
      <c r="L27" s="5"/>
      <c r="M27" s="5"/>
      <c r="N27" s="5"/>
      <c r="O27" s="5"/>
      <c r="P27" s="5"/>
      <c r="Q27" s="5"/>
      <c r="R27" s="5"/>
      <c r="S27" s="5"/>
    </row>
    <row r="28" spans="11:19" x14ac:dyDescent="0.3">
      <c r="K28" s="5"/>
      <c r="L28" s="5"/>
      <c r="M28" s="5"/>
      <c r="N28" s="5"/>
      <c r="O28" s="5"/>
      <c r="P28" s="5"/>
      <c r="Q28" s="5"/>
      <c r="R28" s="5"/>
      <c r="S28" s="5"/>
    </row>
  </sheetData>
  <mergeCells count="3">
    <mergeCell ref="K4:S5"/>
    <mergeCell ref="K2:S3"/>
    <mergeCell ref="K27:S28"/>
  </mergeCells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pivot_analysis</vt:lpstr>
      <vt:lpstr>marks_data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2025-12-04T07:47:13Z</cp:lastPrinted>
  <dcterms:created xsi:type="dcterms:W3CDTF">2025-12-01T07:21:18Z</dcterms:created>
  <dcterms:modified xsi:type="dcterms:W3CDTF">2026-02-05T18:35:56Z</dcterms:modified>
</cp:coreProperties>
</file>